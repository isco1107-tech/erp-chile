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Productos" state="visible" r:id="rId5"/>
    <sheet sheetId="3" name="Inventario" state="visible" r:id="rId6"/>
    <sheet sheetId="4" name="Kardex" state="visible" r:id="rId7"/>
    <sheet sheetId="5" name="Ventas" state="visible" r:id="rId8"/>
    <sheet sheetId="6" name="Ventas detalle" state="visible" r:id="rId9"/>
    <sheet sheetId="7" name="Compras" state="visible" r:id="rId10"/>
    <sheet sheetId="8" name="Compras detalle" state="visible" r:id="rId11"/>
    <sheet sheetId="9" name="Pagos" state="visible" r:id="rId12"/>
  </sheets>
  <calcPr calcId="171027"/>
</workbook>
</file>

<file path=xl/sharedStrings.xml><?xml version="1.0" encoding="utf-8"?>
<sst xmlns="http://schemas.openxmlformats.org/spreadsheetml/2006/main" count="136" uniqueCount="90">
  <si>
    <t>Empresa de Prueba — Panel de control</t>
  </si>
  <si>
    <t>RUT 99.999.999-9  ·  Período 01-08-2026 a 21-08-2026  ·  Generado 21-08-2026, 12:25:38 a. m.</t>
  </si>
  <si>
    <t>RESULTADO COMERCIAL</t>
  </si>
  <si>
    <t>Ventas netas (emitidas)</t>
  </si>
  <si>
    <t>Excluye borradores y anulados; las Notas de Crédito restan, no suman</t>
  </si>
  <si>
    <t>Ventas exentas</t>
  </si>
  <si>
    <t>Costo de ventas</t>
  </si>
  <si>
    <t>Valorizado al PMP vigente al momento de la venta</t>
  </si>
  <si>
    <t>Margen bruto</t>
  </si>
  <si>
    <t>% Margen bruto</t>
  </si>
  <si>
    <t>Ticket promedio</t>
  </si>
  <si>
    <t>N° documentos emitidos</t>
  </si>
  <si>
    <t>ESTIMADOR DE IVA DEL PERÍODO SELECCIONADO</t>
  </si>
  <si>
    <t>IVA débito fiscal (ventas)</t>
  </si>
  <si>
    <t>Notas de Crédito ya restadas, no duplicadas</t>
  </si>
  <si>
    <t>IVA crédito fiscal (compras)</t>
  </si>
  <si>
    <t>Notas de Crédito de proveedor ya restadas</t>
  </si>
  <si>
    <t>IVA a pagar / (a favor)</t>
  </si>
  <si>
    <t>Negativo = a favor. No es la declaración F29: no arrastra remanente de meses anteriores. Para el F29 real, usar Tesorería</t>
  </si>
  <si>
    <t>PPM estimado del período</t>
  </si>
  <si>
    <t>Sobre ventas netas + exentas, a la tasa configurada en Ajustes de la empresa</t>
  </si>
  <si>
    <t>INVENTARIO</t>
  </si>
  <si>
    <t>Inventario valorizado</t>
  </si>
  <si>
    <t>Suma de cantidad × PMP en todas las bodegas</t>
  </si>
  <si>
    <t>Unidades en stock</t>
  </si>
  <si>
    <t>SKUs bajo stock mínimo</t>
  </si>
  <si>
    <t>Filas resaltadas en rojo en la hoja Inventario</t>
  </si>
  <si>
    <t>SKUs en catálogo</t>
  </si>
  <si>
    <t>FINANZAS</t>
  </si>
  <si>
    <t>Cuentas por cobrar</t>
  </si>
  <si>
    <t>Saldo pendiente de documentos emitidos</t>
  </si>
  <si>
    <t>Cuentas por pagar</t>
  </si>
  <si>
    <t>Cobros recibidos</t>
  </si>
  <si>
    <t>Pagos efectuados</t>
  </si>
  <si>
    <t>Flujo neto del período</t>
  </si>
  <si>
    <t>CÓMO USAR ESTE ARCHIVO</t>
  </si>
  <si>
    <t>•  Los indicadores de arriba son fórmulas vivas: si filtras o editas las hojas de datos, se recalculan solos.</t>
  </si>
  <si>
    <t>•  Cada hoja de datos trae autofiltro en la primera fila. Usa Datos → Filtro para segmentar.</t>
  </si>
  <si>
    <t>•  Para gráficos: selecciona un rango y usa Insertar → Gráfico dinámico. Los datos ya vienen normalizados para tabla dinámica.</t>
  </si>
  <si>
    <t>•  En Inventario, las filas en rojo están bajo el stock mínimo definido en el catálogo.</t>
  </si>
  <si>
    <t>•  Kardex es la trazabilidad completa: cada movimiento con su PMP antes y después.</t>
  </si>
  <si>
    <t>SKU</t>
  </si>
  <si>
    <t>Producto</t>
  </si>
  <si>
    <t>Categoría</t>
  </si>
  <si>
    <t>Unidad</t>
  </si>
  <si>
    <t>Gestiona stock</t>
  </si>
  <si>
    <t>PMP</t>
  </si>
  <si>
    <t>Precio neto</t>
  </si>
  <si>
    <t>Precio bruto</t>
  </si>
  <si>
    <t>Margen unitario</t>
  </si>
  <si>
    <t>Stock mínimo</t>
  </si>
  <si>
    <t>Stock total</t>
  </si>
  <si>
    <t>Valorizado</t>
  </si>
  <si>
    <t>Bodega</t>
  </si>
  <si>
    <t>Cantidad</t>
  </si>
  <si>
    <t>Bajo mínimo</t>
  </si>
  <si>
    <t>Fecha</t>
  </si>
  <si>
    <t>Tipo movimiento</t>
  </si>
  <si>
    <t>Costo unitario</t>
  </si>
  <si>
    <t>Costo total</t>
  </si>
  <si>
    <t>Stock anterior</t>
  </si>
  <si>
    <t>Stock nuevo</t>
  </si>
  <si>
    <t>PMP anterior</t>
  </si>
  <si>
    <t>PMP nuevo</t>
  </si>
  <si>
    <t>Referencia</t>
  </si>
  <si>
    <t>Tipo DTE</t>
  </si>
  <si>
    <t>Folio</t>
  </si>
  <si>
    <t>Estado</t>
  </si>
  <si>
    <t>Cliente</t>
  </si>
  <si>
    <t>RUT</t>
  </si>
  <si>
    <t>Neto</t>
  </si>
  <si>
    <t>Exento</t>
  </si>
  <si>
    <t>IVA</t>
  </si>
  <si>
    <t>Total</t>
  </si>
  <si>
    <t>Pagado</t>
  </si>
  <si>
    <t>Saldo</t>
  </si>
  <si>
    <t>Estado pago</t>
  </si>
  <si>
    <t>Costo de venta</t>
  </si>
  <si>
    <t>Margen</t>
  </si>
  <si>
    <t>Descripción</t>
  </si>
  <si>
    <t>Precio unitario</t>
  </si>
  <si>
    <t>Desc. %</t>
  </si>
  <si>
    <t>Margen línea</t>
  </si>
  <si>
    <t>Tipo doc.</t>
  </si>
  <si>
    <t>Proveedor</t>
  </si>
  <si>
    <t>Dirección</t>
  </si>
  <si>
    <t>Contraparte</t>
  </si>
  <si>
    <t>Medio de pago</t>
  </si>
  <si>
    <t>Documento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</si>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</sst>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#,##0.###"/>
    <numFmt numFmtId="166" formatCode="dd-mm-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</font>
    <font>
      <color rgb="FF44607F"/>
      <sz val="10"/>
    </font>
    <font>
      <b/>
      <color rgb="FF1E3A5F"/>
      <sz val="12"/>
    </font>
    <font>
      <b/>
      <sz val="11"/>
    </font>
    <font>
      <i/>
      <color rgb="FF7A8FA6"/>
      <sz val="9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3" fontId="3" fillId="0" borderId="0" xfId="0" applyNumberFormat="1" applyFont="1" applyAlignment="1">
      <alignment horizontal="right"/>
    </xf>
    <xf numFmtId="0" fontId="5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2" fillId="0" borderId="0" xfId="0" applyFont="1" applyAlignment="1">
      <alignment vertical="center" wrapText="1" indent="1"/>
    </xf>
    <xf numFmtId="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6" fillId="2" borderId="0" xfId="0" applyFont="1" applyFill="1" applyAlignment="1">
      <alignment horizontal="center" vertical="center" wrapText="1"/>
    </xf>
    <xf numFmtId="4" fontId="6" fillId="2" borderId="0" xfId="0" applyNumberFormat="1" applyFont="1" applyFill="1" applyAlignment="1">
      <alignment horizontal="center" vertical="center" wrapText="1"/>
    </xf>
    <xf numFmtId="3" fontId="6" fillId="2" borderId="0" xfId="0" applyNumberFormat="1" applyFont="1" applyFill="1" applyAlignment="1">
      <alignment horizontal="center" vertical="center" wrapText="1"/>
    </xf>
    <xf numFmtId="165" fontId="6" fillId="2" borderId="0" xfId="0" applyNumberFormat="1" applyFont="1" applyFill="1" applyAlignment="1">
      <alignment horizontal="center" vertical="center" wrapText="1"/>
    </xf>
    <xf numFmtId="166" fontId="0" fillId="0" borderId="0" xfId="0" applyNumberFormat="1"/>
    <xf numFmtId="166" fontId="6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2">
    <dxf>
      <font>
        <b/>
        <color rgb="FFC0392B"/>
      </font>
    </dxf>
    <dxf>
      <font>
        <b/>
        <color rgb="FF1E844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0" customWidth="1"/>
    <col min="4" max="4" width="18" customWidth="1"/>
    <col min="5" max="5" width="10" customWidth="1"/>
    <col min="6" max="6" width="46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/>
      <c r="C4" s="3"/>
      <c r="D4" s="3"/>
      <c r="E4" s="3"/>
      <c r="F4" s="3"/>
    </row>
    <row r="5" ht="20" customHeight="1" spans="1:6" x14ac:dyDescent="0.25">
      <c r="A5" s="4" t="s">
        <v>3</v>
      </c>
      <c r="B5" s="4"/>
      <c r="C5" s="4"/>
      <c r="D5" s="5">
        <v>0</v>
      </c>
      <c r="E5" s="5"/>
      <c r="F5" s="6" t="s">
        <v>4</v>
      </c>
    </row>
    <row r="6" ht="20" customHeight="1" spans="1:5" x14ac:dyDescent="0.25">
      <c r="A6" s="4" t="s">
        <v>5</v>
      </c>
      <c r="B6" s="4"/>
      <c r="C6" s="4"/>
      <c r="D6" s="5">
        <v>0</v>
      </c>
      <c r="E6" s="5"/>
    </row>
    <row r="7" ht="20" customHeight="1" spans="1:6" x14ac:dyDescent="0.25">
      <c r="A7" s="4" t="s">
        <v>6</v>
      </c>
      <c r="B7" s="4"/>
      <c r="C7" s="4"/>
      <c r="D7" s="5">
        <v>0</v>
      </c>
      <c r="E7" s="5"/>
      <c r="F7" s="6" t="s">
        <v>7</v>
      </c>
    </row>
    <row r="8" ht="20" customHeight="1" spans="1:5" x14ac:dyDescent="0.25">
      <c r="A8" s="4" t="s">
        <v>8</v>
      </c>
      <c r="B8" s="4"/>
      <c r="C8" s="4"/>
      <c r="D8" s="5">
        <v>0</v>
      </c>
      <c r="E8" s="5"/>
    </row>
    <row r="9" ht="20" customHeight="1" spans="1:5" x14ac:dyDescent="0.25">
      <c r="A9" s="4" t="s">
        <v>9</v>
      </c>
      <c r="B9" s="4"/>
      <c r="C9" s="4"/>
      <c r="D9" s="7">
        <f>IFERROR(D8/D5,0)</f>
      </c>
      <c r="E9" s="7"/>
    </row>
    <row r="10" ht="20" customHeight="1" spans="1:5" x14ac:dyDescent="0.25">
      <c r="A10" s="4" t="s">
        <v>10</v>
      </c>
      <c r="B10" s="4"/>
      <c r="C10" s="4"/>
      <c r="D10" s="5">
        <f>IFERROR(D5/COUNTIFS(Ventas!D:D,"ISSUED"),0)</f>
      </c>
      <c r="E10" s="5"/>
    </row>
    <row r="11" ht="20" customHeight="1" spans="1:5" x14ac:dyDescent="0.25">
      <c r="A11" s="4" t="s">
        <v>11</v>
      </c>
      <c r="B11" s="4"/>
      <c r="C11" s="4"/>
      <c r="D11" s="5">
        <f>COUNTIFS(Ventas!D:D,"ISSUED")</f>
      </c>
      <c r="E11" s="5"/>
    </row>
    <row r="13" ht="22" customHeight="1" spans="1:6" x14ac:dyDescent="0.25">
      <c r="A13" s="3" t="s">
        <v>12</v>
      </c>
      <c r="B13" s="3"/>
      <c r="C13" s="3"/>
      <c r="D13" s="3"/>
      <c r="E13" s="3"/>
      <c r="F13" s="3"/>
    </row>
    <row r="14" ht="20" customHeight="1" spans="1:6" x14ac:dyDescent="0.25">
      <c r="A14" s="4" t="s">
        <v>13</v>
      </c>
      <c r="B14" s="4"/>
      <c r="C14" s="4"/>
      <c r="D14" s="5">
        <v>0</v>
      </c>
      <c r="E14" s="5"/>
      <c r="F14" s="6" t="s">
        <v>14</v>
      </c>
    </row>
    <row r="15" ht="20" customHeight="1" spans="1:6" x14ac:dyDescent="0.25">
      <c r="A15" s="4" t="s">
        <v>15</v>
      </c>
      <c r="B15" s="4"/>
      <c r="C15" s="4"/>
      <c r="D15" s="5">
        <v>0</v>
      </c>
      <c r="E15" s="5"/>
      <c r="F15" s="6" t="s">
        <v>16</v>
      </c>
    </row>
    <row r="16" ht="20" customHeight="1" spans="1:6" x14ac:dyDescent="0.25">
      <c r="A16" s="4" t="s">
        <v>17</v>
      </c>
      <c r="B16" s="4"/>
      <c r="C16" s="4"/>
      <c r="D16" s="5">
        <v>0</v>
      </c>
      <c r="E16" s="5"/>
      <c r="F16" s="6" t="s">
        <v>18</v>
      </c>
    </row>
    <row r="17" ht="20" customHeight="1" spans="1:6" x14ac:dyDescent="0.25">
      <c r="A17" s="4" t="s">
        <v>19</v>
      </c>
      <c r="B17" s="4"/>
      <c r="C17" s="4"/>
      <c r="D17" s="5">
        <v>0</v>
      </c>
      <c r="E17" s="5"/>
      <c r="F17" s="6" t="s">
        <v>20</v>
      </c>
    </row>
    <row r="19" ht="22" customHeight="1" spans="1:6" x14ac:dyDescent="0.25">
      <c r="A19" s="3" t="s">
        <v>21</v>
      </c>
      <c r="B19" s="3"/>
      <c r="C19" s="3"/>
      <c r="D19" s="3"/>
      <c r="E19" s="3"/>
      <c r="F19" s="3"/>
    </row>
    <row r="20" ht="20" customHeight="1" spans="1:6" x14ac:dyDescent="0.25">
      <c r="A20" s="4" t="s">
        <v>22</v>
      </c>
      <c r="B20" s="4"/>
      <c r="C20" s="4"/>
      <c r="D20" s="5">
        <f>SUM(Inventario!F:F)</f>
      </c>
      <c r="E20" s="5"/>
      <c r="F20" s="6" t="s">
        <v>23</v>
      </c>
    </row>
    <row r="21" ht="20" customHeight="1" spans="1:5" x14ac:dyDescent="0.25">
      <c r="A21" s="4" t="s">
        <v>24</v>
      </c>
      <c r="B21" s="4"/>
      <c r="C21" s="4"/>
      <c r="D21" s="8">
        <f>SUM(Inventario!D:D)</f>
      </c>
      <c r="E21" s="8"/>
    </row>
    <row r="22" ht="20" customHeight="1" spans="1:6" x14ac:dyDescent="0.25">
      <c r="A22" s="4" t="s">
        <v>25</v>
      </c>
      <c r="B22" s="4"/>
      <c r="C22" s="4"/>
      <c r="D22" s="5">
        <f>COUNTIFS(Inventario!H:H,TRUE)</f>
      </c>
      <c r="E22" s="5"/>
      <c r="F22" s="6" t="s">
        <v>26</v>
      </c>
    </row>
    <row r="23" ht="20" customHeight="1" spans="1:5" x14ac:dyDescent="0.25">
      <c r="A23" s="4" t="s">
        <v>27</v>
      </c>
      <c r="B23" s="4"/>
      <c r="C23" s="4"/>
      <c r="D23" s="5">
        <f>COUNTA(Productos!A:A)-1</f>
      </c>
      <c r="E23" s="5"/>
    </row>
    <row r="25" ht="22" customHeight="1" spans="1:6" x14ac:dyDescent="0.25">
      <c r="A25" s="3" t="s">
        <v>28</v>
      </c>
      <c r="B25" s="3"/>
      <c r="C25" s="3"/>
      <c r="D25" s="3"/>
      <c r="E25" s="3"/>
      <c r="F25" s="3"/>
    </row>
    <row r="26" ht="20" customHeight="1" spans="1:6" x14ac:dyDescent="0.25">
      <c r="A26" s="4" t="s">
        <v>29</v>
      </c>
      <c r="B26" s="4"/>
      <c r="C26" s="4"/>
      <c r="D26" s="5">
        <f>SUMIFS(Ventas!L:L,Ventas!D:D,"ISSUED")</f>
      </c>
      <c r="E26" s="5"/>
      <c r="F26" s="6" t="s">
        <v>30</v>
      </c>
    </row>
    <row r="27" ht="20" customHeight="1" spans="1:5" x14ac:dyDescent="0.25">
      <c r="A27" s="4" t="s">
        <v>31</v>
      </c>
      <c r="B27" s="4"/>
      <c r="C27" s="4"/>
      <c r="D27" s="5">
        <f>SUMIFS(Compras!L:L,Compras!D:D,"ISSUED")</f>
      </c>
      <c r="E27" s="5"/>
    </row>
    <row r="28" ht="20" customHeight="1" spans="1:5" x14ac:dyDescent="0.25">
      <c r="A28" s="4" t="s">
        <v>32</v>
      </c>
      <c r="B28" s="4"/>
      <c r="C28" s="4"/>
      <c r="D28" s="5">
        <f>SUMIFS(Pagos!F:F,Pagos!B:B,"Ingreso")</f>
      </c>
      <c r="E28" s="5"/>
    </row>
    <row r="29" ht="20" customHeight="1" spans="1:5" x14ac:dyDescent="0.25">
      <c r="A29" s="4" t="s">
        <v>33</v>
      </c>
      <c r="B29" s="4"/>
      <c r="C29" s="4"/>
      <c r="D29" s="5">
        <f>SUMIFS(Pagos!F:F,Pagos!B:B,"Egreso")</f>
      </c>
      <c r="E29" s="5"/>
    </row>
    <row r="30" ht="20" customHeight="1" spans="1:5" x14ac:dyDescent="0.25">
      <c r="A30" s="4" t="s">
        <v>34</v>
      </c>
      <c r="B30" s="4"/>
      <c r="C30" s="4"/>
      <c r="D30" s="5">
        <f>SUMIFS(Pagos!F:F,Pagos!B:B,"Ingreso")-SUMIFS(Pagos!F:F,Pagos!B:B,"Egreso")</f>
      </c>
      <c r="E30" s="5"/>
    </row>
    <row r="33" ht="22" customHeight="1" spans="1:6" x14ac:dyDescent="0.25">
      <c r="A33" s="3" t="s">
        <v>35</v>
      </c>
      <c r="B33" s="3"/>
      <c r="C33" s="3"/>
      <c r="D33" s="3"/>
      <c r="E33" s="3"/>
      <c r="F33" s="3"/>
    </row>
    <row r="34" spans="1:6" x14ac:dyDescent="0.25">
      <c r="A34" s="9" t="s">
        <v>36</v>
      </c>
      <c r="B34" s="9"/>
      <c r="C34" s="9"/>
      <c r="D34" s="9"/>
      <c r="E34" s="9"/>
      <c r="F34" s="9"/>
    </row>
    <row r="35" spans="1:6" x14ac:dyDescent="0.25">
      <c r="A35" s="9" t="s">
        <v>37</v>
      </c>
      <c r="B35" s="9"/>
      <c r="C35" s="9"/>
      <c r="D35" s="9"/>
      <c r="E35" s="9"/>
      <c r="F35" s="9"/>
    </row>
    <row r="36" spans="1:6" x14ac:dyDescent="0.25">
      <c r="A36" s="9" t="s">
        <v>38</v>
      </c>
      <c r="B36" s="9"/>
      <c r="C36" s="9"/>
      <c r="D36" s="9"/>
      <c r="E36" s="9"/>
      <c r="F36" s="9"/>
    </row>
    <row r="37" spans="1:6" x14ac:dyDescent="0.25">
      <c r="A37" s="9" t="s">
        <v>39</v>
      </c>
      <c r="B37" s="9"/>
      <c r="C37" s="9"/>
      <c r="D37" s="9"/>
      <c r="E37" s="9"/>
      <c r="F37" s="9"/>
    </row>
    <row r="38" spans="1:6" x14ac:dyDescent="0.25">
      <c r="A38" s="9" t="s">
        <v>40</v>
      </c>
      <c r="B38" s="9"/>
      <c r="C38" s="9"/>
      <c r="D38" s="9"/>
      <c r="E38" s="9"/>
      <c r="F38" s="9"/>
    </row>
  </sheetData>
  <mergeCells count="52">
    <mergeCell ref="A1:F1"/>
    <mergeCell ref="A2:F2"/>
    <mergeCell ref="A4:F4"/>
    <mergeCell ref="A5:C5"/>
    <mergeCell ref="D5:E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3:F13"/>
    <mergeCell ref="A14:C14"/>
    <mergeCell ref="D14:E14"/>
    <mergeCell ref="A15:C15"/>
    <mergeCell ref="D15:E15"/>
    <mergeCell ref="A16:C16"/>
    <mergeCell ref="D16:E16"/>
    <mergeCell ref="A17:C17"/>
    <mergeCell ref="D17:E17"/>
    <mergeCell ref="A19:F19"/>
    <mergeCell ref="A20:C20"/>
    <mergeCell ref="D20:E20"/>
    <mergeCell ref="A21:C21"/>
    <mergeCell ref="D21:E21"/>
    <mergeCell ref="A22:C22"/>
    <mergeCell ref="D22:E22"/>
    <mergeCell ref="A23:C23"/>
    <mergeCell ref="D23:E23"/>
    <mergeCell ref="A25:F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3:F33"/>
    <mergeCell ref="A34:F34"/>
    <mergeCell ref="A35:F35"/>
    <mergeCell ref="A36:F36"/>
    <mergeCell ref="A37:F37"/>
    <mergeCell ref="A38:F38"/>
  </mergeCells>
  <conditionalFormatting sqref="D30:E30">
    <cfRule type="cellIs" dxfId="0" priority="1" operator="lessThan">
      <formula>0</formula>
    </cfRule>
    <cfRule type="cellIs" dxfId="1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8" customWidth="1"/>
    <col min="3" max="3" width="18" customWidth="1"/>
    <col min="4" max="4" width="10" customWidth="1"/>
    <col min="5" max="5" width="14" customWidth="1"/>
    <col min="6" max="6" width="14" style="10" customWidth="1"/>
    <col min="7" max="8" width="14" style="11" customWidth="1"/>
    <col min="9" max="9" width="16" style="11" customWidth="1"/>
    <col min="10" max="11" width="13" style="12" customWidth="1"/>
    <col min="12" max="12" width="16" style="11" customWidth="1"/>
  </cols>
  <sheetData>
    <row r="1" ht="28" customHeight="1" spans="1:12" s="13" customFormat="1" x14ac:dyDescent="0.25">
      <c r="A1" s="13" t="s">
        <v>41</v>
      </c>
      <c r="B1" s="13" t="s">
        <v>42</v>
      </c>
      <c r="C1" s="13" t="s">
        <v>43</v>
      </c>
      <c r="D1" s="13" t="s">
        <v>44</v>
      </c>
      <c r="E1" s="13" t="s">
        <v>45</v>
      </c>
      <c r="F1" s="14" t="s">
        <v>46</v>
      </c>
      <c r="G1" s="15" t="s">
        <v>47</v>
      </c>
      <c r="H1" s="15" t="s">
        <v>48</v>
      </c>
      <c r="I1" s="15" t="s">
        <v>49</v>
      </c>
      <c r="J1" s="16" t="s">
        <v>50</v>
      </c>
      <c r="K1" s="16" t="s">
        <v>51</v>
      </c>
      <c r="L1" s="15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8" customWidth="1"/>
    <col min="3" max="3" width="22" customWidth="1"/>
    <col min="4" max="4" width="13" style="12" customWidth="1"/>
    <col min="5" max="5" width="14" style="10" customWidth="1"/>
    <col min="6" max="6" width="16" style="11" customWidth="1"/>
    <col min="7" max="7" width="13" style="12" customWidth="1"/>
    <col min="8" max="8" width="13" customWidth="1"/>
  </cols>
  <sheetData>
    <row r="1" ht="28" customHeight="1" spans="1:8" s="13" customFormat="1" x14ac:dyDescent="0.25">
      <c r="A1" s="13" t="s">
        <v>41</v>
      </c>
      <c r="B1" s="13" t="s">
        <v>42</v>
      </c>
      <c r="C1" s="13" t="s">
        <v>53</v>
      </c>
      <c r="D1" s="16" t="s">
        <v>54</v>
      </c>
      <c r="E1" s="14" t="s">
        <v>46</v>
      </c>
      <c r="F1" s="15" t="s">
        <v>52</v>
      </c>
      <c r="G1" s="16" t="s">
        <v>50</v>
      </c>
      <c r="H1" s="1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7" customWidth="1"/>
    <col min="2" max="2" width="16" customWidth="1"/>
    <col min="3" max="3" width="34" customWidth="1"/>
    <col min="4" max="5" width="20" customWidth="1"/>
    <col min="6" max="6" width="12" style="12" customWidth="1"/>
    <col min="7" max="7" width="14" style="10" customWidth="1"/>
    <col min="8" max="8" width="14" style="11" customWidth="1"/>
    <col min="9" max="10" width="13" style="12" customWidth="1"/>
    <col min="11" max="12" width="14" style="10" customWidth="1"/>
    <col min="13" max="13" width="30" customWidth="1"/>
  </cols>
  <sheetData>
    <row r="1" ht="28" customHeight="1" spans="1:13" s="13" customFormat="1" x14ac:dyDescent="0.25">
      <c r="A1" s="18" t="s">
        <v>56</v>
      </c>
      <c r="B1" s="13" t="s">
        <v>41</v>
      </c>
      <c r="C1" s="13" t="s">
        <v>42</v>
      </c>
      <c r="D1" s="13" t="s">
        <v>53</v>
      </c>
      <c r="E1" s="13" t="s">
        <v>57</v>
      </c>
      <c r="F1" s="16" t="s">
        <v>54</v>
      </c>
      <c r="G1" s="14" t="s">
        <v>58</v>
      </c>
      <c r="H1" s="15" t="s">
        <v>59</v>
      </c>
      <c r="I1" s="16" t="s">
        <v>60</v>
      </c>
      <c r="J1" s="16" t="s">
        <v>61</v>
      </c>
      <c r="K1" s="14" t="s">
        <v>62</v>
      </c>
      <c r="L1" s="14" t="s">
        <v>63</v>
      </c>
      <c r="M1" s="13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7" customWidth="1"/>
    <col min="2" max="2" width="24" customWidth="1"/>
    <col min="3" max="3" width="10" customWidth="1"/>
    <col min="4" max="4" width="12" customWidth="1"/>
    <col min="5" max="5" width="32" customWidth="1"/>
    <col min="6" max="6" width="14" customWidth="1"/>
    <col min="7" max="7" width="15" style="11" customWidth="1"/>
    <col min="8" max="9" width="13" style="11" customWidth="1"/>
    <col min="10" max="10" width="16" style="11" customWidth="1"/>
    <col min="11" max="12" width="15" style="11" customWidth="1"/>
    <col min="13" max="13" width="13" customWidth="1"/>
    <col min="14" max="15" width="15" style="11" customWidth="1"/>
  </cols>
  <sheetData>
    <row r="1" ht="28" customHeight="1" spans="1:15" s="13" customFormat="1" x14ac:dyDescent="0.25">
      <c r="A1" s="18" t="s">
        <v>56</v>
      </c>
      <c r="B1" s="13" t="s">
        <v>65</v>
      </c>
      <c r="C1" s="13" t="s">
        <v>66</v>
      </c>
      <c r="D1" s="13" t="s">
        <v>67</v>
      </c>
      <c r="E1" s="13" t="s">
        <v>68</v>
      </c>
      <c r="F1" s="13" t="s">
        <v>69</v>
      </c>
      <c r="G1" s="15" t="s">
        <v>70</v>
      </c>
      <c r="H1" s="15" t="s">
        <v>71</v>
      </c>
      <c r="I1" s="15" t="s">
        <v>72</v>
      </c>
      <c r="J1" s="15" t="s">
        <v>73</v>
      </c>
      <c r="K1" s="15" t="s">
        <v>74</v>
      </c>
      <c r="L1" s="15" t="s">
        <v>75</v>
      </c>
      <c r="M1" s="13" t="s">
        <v>76</v>
      </c>
      <c r="N1" s="15" t="s">
        <v>77</v>
      </c>
      <c r="O1" s="15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7" customWidth="1"/>
    <col min="2" max="2" width="24" customWidth="1"/>
    <col min="3" max="3" width="10" customWidth="1"/>
    <col min="4" max="4" width="30" customWidth="1"/>
    <col min="5" max="5" width="16" customWidth="1"/>
    <col min="6" max="6" width="36" customWidth="1"/>
    <col min="7" max="7" width="11" style="12" customWidth="1"/>
    <col min="8" max="8" width="14" style="11" customWidth="1"/>
    <col min="9" max="9" width="10" customWidth="1"/>
    <col min="11" max="11" width="14" style="11" customWidth="1"/>
    <col min="12" max="12" width="12" style="11" customWidth="1"/>
    <col min="13" max="13" width="14" style="11" customWidth="1"/>
    <col min="14" max="14" width="14" style="10" customWidth="1"/>
    <col min="15" max="15" width="14" style="11" customWidth="1"/>
  </cols>
  <sheetData>
    <row r="1" ht="28" customHeight="1" spans="1:15" s="13" customFormat="1" x14ac:dyDescent="0.25">
      <c r="A1" s="18" t="s">
        <v>56</v>
      </c>
      <c r="B1" s="13" t="s">
        <v>65</v>
      </c>
      <c r="C1" s="13" t="s">
        <v>66</v>
      </c>
      <c r="D1" s="13" t="s">
        <v>68</v>
      </c>
      <c r="E1" s="13" t="s">
        <v>41</v>
      </c>
      <c r="F1" s="13" t="s">
        <v>79</v>
      </c>
      <c r="G1" s="16" t="s">
        <v>54</v>
      </c>
      <c r="H1" s="15" t="s">
        <v>80</v>
      </c>
      <c r="I1" s="13" t="s">
        <v>81</v>
      </c>
      <c r="J1" s="13" t="s">
        <v>71</v>
      </c>
      <c r="K1" s="15" t="s">
        <v>70</v>
      </c>
      <c r="L1" s="15" t="s">
        <v>72</v>
      </c>
      <c r="M1" s="15" t="s">
        <v>73</v>
      </c>
      <c r="N1" s="14" t="s">
        <v>58</v>
      </c>
      <c r="O1" s="15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7" customWidth="1"/>
    <col min="2" max="2" width="16" customWidth="1"/>
    <col min="3" max="4" width="12" customWidth="1"/>
    <col min="5" max="5" width="32" customWidth="1"/>
    <col min="6" max="6" width="14" customWidth="1"/>
    <col min="7" max="7" width="15" style="11" customWidth="1"/>
    <col min="8" max="9" width="13" style="11" customWidth="1"/>
    <col min="10" max="10" width="16" style="11" customWidth="1"/>
    <col min="11" max="12" width="15" style="11" customWidth="1"/>
    <col min="13" max="13" width="13" customWidth="1"/>
  </cols>
  <sheetData>
    <row r="1" ht="28" customHeight="1" spans="1:13" s="13" customFormat="1" x14ac:dyDescent="0.25">
      <c r="A1" s="18" t="s">
        <v>56</v>
      </c>
      <c r="B1" s="13" t="s">
        <v>83</v>
      </c>
      <c r="C1" s="13" t="s">
        <v>66</v>
      </c>
      <c r="D1" s="13" t="s">
        <v>67</v>
      </c>
      <c r="E1" s="13" t="s">
        <v>84</v>
      </c>
      <c r="F1" s="13" t="s">
        <v>69</v>
      </c>
      <c r="G1" s="15" t="s">
        <v>70</v>
      </c>
      <c r="H1" s="15" t="s">
        <v>71</v>
      </c>
      <c r="I1" s="15" t="s">
        <v>72</v>
      </c>
      <c r="J1" s="15" t="s">
        <v>73</v>
      </c>
      <c r="K1" s="15" t="s">
        <v>74</v>
      </c>
      <c r="L1" s="15" t="s">
        <v>75</v>
      </c>
      <c r="M1" s="13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7" customWidth="1"/>
    <col min="2" max="2" width="16" customWidth="1"/>
    <col min="3" max="3" width="12" customWidth="1"/>
    <col min="4" max="4" width="30" customWidth="1"/>
    <col min="5" max="5" width="16" customWidth="1"/>
    <col min="6" max="6" width="36" customWidth="1"/>
    <col min="7" max="7" width="11" style="12" customWidth="1"/>
    <col min="8" max="8" width="14" style="11" customWidth="1"/>
    <col min="10" max="10" width="14" style="11" customWidth="1"/>
    <col min="11" max="11" width="12" style="11" customWidth="1"/>
    <col min="12" max="12" width="14" style="11" customWidth="1"/>
  </cols>
  <sheetData>
    <row r="1" ht="28" customHeight="1" spans="1:12" s="13" customFormat="1" x14ac:dyDescent="0.25">
      <c r="A1" s="18" t="s">
        <v>56</v>
      </c>
      <c r="B1" s="13" t="s">
        <v>83</v>
      </c>
      <c r="C1" s="13" t="s">
        <v>66</v>
      </c>
      <c r="D1" s="13" t="s">
        <v>84</v>
      </c>
      <c r="E1" s="13" t="s">
        <v>41</v>
      </c>
      <c r="F1" s="13" t="s">
        <v>79</v>
      </c>
      <c r="G1" s="16" t="s">
        <v>54</v>
      </c>
      <c r="H1" s="15" t="s">
        <v>58</v>
      </c>
      <c r="I1" s="13" t="s">
        <v>71</v>
      </c>
      <c r="J1" s="15" t="s">
        <v>70</v>
      </c>
      <c r="K1" s="15" t="s">
        <v>72</v>
      </c>
      <c r="L1" s="15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7" customWidth="1"/>
    <col min="2" max="2" width="12" customWidth="1"/>
    <col min="3" max="3" width="32" customWidth="1"/>
    <col min="4" max="4" width="18" customWidth="1"/>
    <col min="5" max="5" width="24" customWidth="1"/>
    <col min="6" max="6" width="16" style="11" customWidth="1"/>
    <col min="7" max="7" width="20" customWidth="1"/>
  </cols>
  <sheetData>
    <row r="1" ht="28" customHeight="1" spans="1:7" s="13" customFormat="1" x14ac:dyDescent="0.25">
      <c r="A1" s="18" t="s">
        <v>56</v>
      </c>
      <c r="B1" s="13" t="s">
        <v>85</v>
      </c>
      <c r="C1" s="13" t="s">
        <v>86</v>
      </c>
      <c r="D1" s="13" t="s">
        <v>87</v>
      </c>
      <c r="E1" s="13" t="s">
        <v>88</v>
      </c>
      <c r="F1" s="15" t="s">
        <v>89</v>
      </c>
      <c r="G1" s="13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Panel</vt:lpstr>
      <vt:lpstr>Productos</vt:lpstr>
      <vt:lpstr>Inventario</vt:lpstr>
      <vt:lpstr>Kardex</vt:lpstr>
      <vt:lpstr>Ventas</vt:lpstr>
      <vt:lpstr>Ventas detalle</vt:lpstr>
      <vt:lpstr>Compras</vt:lpstr>
      <vt:lpstr>Compras detalle</vt:lpstr>
      <vt:lpstr>Pagos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 Chile</dc:creator>
  <dc:title/>
  <dc:subject/>
  <dc:description/>
  <cp:keywords/>
  <cp:category/>
  <cp:lastModifiedBy>Unknown</cp:lastModifiedBy>
  <dcterms:created xsi:type="dcterms:W3CDTF">2026-08-21T00:25:38Z</dcterms:created>
  <dcterms:modified xsi:type="dcterms:W3CDTF">2026-08-21T00:25:38Z</dcterms:modified>
</cp:coreProperties>
</file>